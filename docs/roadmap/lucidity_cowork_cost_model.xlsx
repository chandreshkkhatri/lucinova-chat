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ost Breakdown" sheetId="2" state="visible" r:id="rId4"/>
    <sheet name="Cost Distribution" sheetId="3" state="visible" r:id="rId5"/>
    <sheet name="Pricing Reference" sheetId="4" state="visible" r:id="rId6"/>
    <sheet name="Optimization 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<sst xmlns="http://schemas.openxmlformats.org/spreadsheetml/2006/main" count="262" uniqueCount="238">
  <si>
    <t xml:space="preserve">Lucidity Cowork — Infrastructure Cost Model</t>
  </si>
  <si>
    <t xml:space="preserve">ASSUMPTIONS</t>
  </si>
  <si>
    <t xml:space="preserve">MVP (Month 1-3)</t>
  </si>
  <si>
    <t xml:space="preserve">Growth (Month 4-9)</t>
  </si>
  <si>
    <t xml:space="preserve">Scale (Month 10-18)</t>
  </si>
  <si>
    <t xml:space="preserve">Notes</t>
  </si>
  <si>
    <t xml:space="preserve">USER ASSUMPTIONS</t>
  </si>
  <si>
    <t xml:space="preserve">Monthly Active Users (MAU)</t>
  </si>
  <si>
    <t xml:space="preserve">Paying + free tier users</t>
  </si>
  <si>
    <t xml:space="preserve">Concurrent Users (peak)</t>
  </si>
  <si>
    <t xml:space="preserve">~20-25% of MAU at peak</t>
  </si>
  <si>
    <t xml:space="preserve">Avg Sessions per User per Month</t>
  </si>
  <si>
    <t xml:space="preserve">Power users skew higher</t>
  </si>
  <si>
    <t xml:space="preserve">Avg Session Duration (minutes)</t>
  </si>
  <si>
    <t xml:space="preserve">Each active build/edit session</t>
  </si>
  <si>
    <t xml:space="preserve">Total Sandbox Hours / Month</t>
  </si>
  <si>
    <t xml:space="preserve">MAU × sessions × duration</t>
  </si>
  <si>
    <t xml:space="preserve">LLM USAGE PER SESSION</t>
  </si>
  <si>
    <t xml:space="preserve">Canvas Agent Calls per Session</t>
  </si>
  <si>
    <t xml:space="preserve">Understanding, threading, annotations</t>
  </si>
  <si>
    <t xml:space="preserve">Executor Agent Calls per Session</t>
  </si>
  <si>
    <t xml:space="preserve">Code gen, file writes, commands</t>
  </si>
  <si>
    <t xml:space="preserve">Avg Input Tokens per Call</t>
  </si>
  <si>
    <t xml:space="preserve">System prompt + context + user msg</t>
  </si>
  <si>
    <t xml:space="preserve">Avg Output Tokens per Call</t>
  </si>
  <si>
    <t xml:space="preserve">Generated code, explanations</t>
  </si>
  <si>
    <t xml:space="preserve">Total Sessions / Month</t>
  </si>
  <si>
    <t xml:space="preserve">MAU × sessions/user</t>
  </si>
  <si>
    <t xml:space="preserve">REVENUE ASSUMPTIONS</t>
  </si>
  <si>
    <t xml:space="preserve">Paying User %</t>
  </si>
  <si>
    <t xml:space="preserve">Free-to-paid conversion</t>
  </si>
  <si>
    <t xml:space="preserve">Monthly Price per Paying User ($)</t>
  </si>
  <si>
    <t xml:space="preserve">Comparable to Bolt/Lovable Starter</t>
  </si>
  <si>
    <t xml:space="preserve">Monthly Revenue ($)</t>
  </si>
  <si>
    <t xml:space="preserve">MAU × pay% × price</t>
  </si>
  <si>
    <t xml:space="preserve">Monthly Infrastructure Cost Breakdown</t>
  </si>
  <si>
    <t xml:space="preserve">Component</t>
  </si>
  <si>
    <t xml:space="preserve">Unit Cost</t>
  </si>
  <si>
    <t xml:space="preserve">MVP</t>
  </si>
  <si>
    <t xml:space="preserve">Growth</t>
  </si>
  <si>
    <t xml:space="preserve">Scale</t>
  </si>
  <si>
    <t xml:space="preserve">Pricing Source / Notes</t>
  </si>
  <si>
    <t xml:space="preserve">1. SANDBOX INFRASTRUCTURE (E2B)</t>
  </si>
  <si>
    <t xml:space="preserve">E2B Pro Base Fee</t>
  </si>
  <si>
    <t xml:space="preserve">$150/month</t>
  </si>
  <si>
    <t xml:space="preserve">E2B Pro plan, 24hr sessions, 100 concurrent</t>
  </si>
  <si>
    <t xml:space="preserve">Sandbox Compute (1 vCPU / 2GB)</t>
  </si>
  <si>
    <t xml:space="preserve">$0.05/hr</t>
  </si>
  <si>
    <t xml:space="preserve">~$0.05/hr for 1vCPU+2GB (E2B Pro)</t>
  </si>
  <si>
    <t xml:space="preserve">  Subtotal: Sandbox</t>
  </si>
  <si>
    <t xml:space="preserve">2. LLM API COSTS</t>
  </si>
  <si>
    <t xml:space="preserve">Canvas Agent (Gemini 2.5 Flash) - Input</t>
  </si>
  <si>
    <t xml:space="preserve">$0.50/1M tok</t>
  </si>
  <si>
    <t xml:space="preserve">Gemini 2.5 Flash: $0.50/1M input</t>
  </si>
  <si>
    <t xml:space="preserve">Canvas Agent (Gemini 2.5 Flash) - Output</t>
  </si>
  <si>
    <t xml:space="preserve">$2.50/1M tok</t>
  </si>
  <si>
    <t xml:space="preserve">Gemini 2.5 Flash: $2.50/1M output (thinking)</t>
  </si>
  <si>
    <t xml:space="preserve">Executor Agent (Claude Sonnet 4.5) - Input</t>
  </si>
  <si>
    <t xml:space="preserve">$3/1M tok</t>
  </si>
  <si>
    <t xml:space="preserve">Claude Sonnet 4.5: $3/1M input</t>
  </si>
  <si>
    <t xml:space="preserve">Executor Agent (Claude Sonnet 4.5) - Output</t>
  </si>
  <si>
    <t xml:space="preserve">$15/1M tok</t>
  </si>
  <si>
    <t xml:space="preserve">Claude Sonnet 4.5: $15/1M output</t>
  </si>
  <si>
    <t xml:space="preserve">Embeddings (text-embedding-3-small)</t>
  </si>
  <si>
    <t xml:space="preserve">$0.02/1M tok</t>
  </si>
  <si>
    <t xml:space="preserve">OpenAI embedding: $0.02/1M, ~50K tok/session</t>
  </si>
  <si>
    <t xml:space="preserve">  Subtotal: LLM APIs</t>
  </si>
  <si>
    <t xml:space="preserve">3. DATABASE &amp; STORAGE</t>
  </si>
  <si>
    <t xml:space="preserve">Supabase (Postgres + pgvector)</t>
  </si>
  <si>
    <t xml:space="preserve">$0-25/month</t>
  </si>
  <si>
    <t xml:space="preserve">Free tier → Pro $25/mo (8GB DB, 100K MAU)</t>
  </si>
  <si>
    <t xml:space="preserve">Redis (Upstash serverless)</t>
  </si>
  <si>
    <t xml:space="preserve">$0-10/month</t>
  </si>
  <si>
    <t xml:space="preserve">Caching, session state. Free 10K cmds/day</t>
  </si>
  <si>
    <t xml:space="preserve">  Subtotal: Database</t>
  </si>
  <si>
    <t xml:space="preserve">4. FRONTEND HOSTING &amp; INFRA</t>
  </si>
  <si>
    <t xml:space="preserve">Vercel (Next.js frontend)</t>
  </si>
  <si>
    <t xml:space="preserve">$0-20/month</t>
  </si>
  <si>
    <t xml:space="preserve">Hobby free → Pro $20/mo/member</t>
  </si>
  <si>
    <t xml:space="preserve">Backend Server (Railway / Fly.io)</t>
  </si>
  <si>
    <t xml:space="preserve">$5-25/month</t>
  </si>
  <si>
    <t xml:space="preserve">LangGraph orchestration server, WebSockets</t>
  </si>
  <si>
    <t xml:space="preserve">Domain + DNS (Cloudflare)</t>
  </si>
  <si>
    <t xml:space="preserve">$10-15/year</t>
  </si>
  <si>
    <t xml:space="preserve">~$12/year amortized</t>
  </si>
  <si>
    <t xml:space="preserve">  Subtotal: Hosting</t>
  </si>
  <si>
    <t xml:space="preserve">5. AUTH, MONITORING &amp; MISC</t>
  </si>
  <si>
    <t xml:space="preserve">Auth (Supabase Auth / Clerk)</t>
  </si>
  <si>
    <t xml:space="preserve">$0/month</t>
  </si>
  <si>
    <t xml:space="preserve">Bundled with Supabase, or Clerk free tier</t>
  </si>
  <si>
    <t xml:space="preserve">Error Tracking (Sentry)</t>
  </si>
  <si>
    <t xml:space="preserve">Free tier → Team $29/mo at scale</t>
  </si>
  <si>
    <t xml:space="preserve">Analytics (PostHog / Plausible)</t>
  </si>
  <si>
    <t xml:space="preserve">PostHog free tier: 1M events/mo</t>
  </si>
  <si>
    <t xml:space="preserve">  Subtotal: Auth &amp; Misc</t>
  </si>
  <si>
    <t xml:space="preserve">TOTAL MONTHLY INFRASTRUCTURE COST</t>
  </si>
  <si>
    <t xml:space="preserve">Monthly Revenue (from Assumptions)</t>
  </si>
  <si>
    <t xml:space="preserve">Net Margin (Revenue - Cost)</t>
  </si>
  <si>
    <t xml:space="preserve">Gross Margin %</t>
  </si>
  <si>
    <t xml:space="preserve">COST PER USER METRICS</t>
  </si>
  <si>
    <t xml:space="preserve">Total Cost per MAU</t>
  </si>
  <si>
    <t xml:space="preserve">LLM Cost per Session</t>
  </si>
  <si>
    <t xml:space="preserve">Sandbox Cost per Session</t>
  </si>
  <si>
    <t xml:space="preserve">Revenue per Paying User - Cost per MAU</t>
  </si>
  <si>
    <t xml:space="preserve">Headroom per paying user after costs</t>
  </si>
  <si>
    <t xml:space="preserve">Cost Distribution by Category</t>
  </si>
  <si>
    <t xml:space="preserve">Category</t>
  </si>
  <si>
    <t xml:space="preserve">Sandbox (E2B)</t>
  </si>
  <si>
    <t xml:space="preserve">LLM APIs</t>
  </si>
  <si>
    <t xml:space="preserve">Database</t>
  </si>
  <si>
    <t xml:space="preserve">Hosting</t>
  </si>
  <si>
    <t xml:space="preserve">Auth &amp; Misc</t>
  </si>
  <si>
    <t xml:space="preserve">Total</t>
  </si>
  <si>
    <t xml:space="preserve">% of Total</t>
  </si>
  <si>
    <t xml:space="preserve">Vendor Pricing Reference (Feb 2026)</t>
  </si>
  <si>
    <t xml:space="preserve">Service / Model</t>
  </si>
  <si>
    <t xml:space="preserve">Input Price</t>
  </si>
  <si>
    <t xml:space="preserve">Output Price</t>
  </si>
  <si>
    <t xml:space="preserve">LLM APIS</t>
  </si>
  <si>
    <t xml:space="preserve">Claude Opus 4.5</t>
  </si>
  <si>
    <t xml:space="preserve">$5.00 / 1M tok</t>
  </si>
  <si>
    <t xml:space="preserve">$25.00 / 1M tok</t>
  </si>
  <si>
    <t xml:space="preserve">Most capable. 67% cheaper than Opus 4.1</t>
  </si>
  <si>
    <t xml:space="preserve">Claude Sonnet 4.5</t>
  </si>
  <si>
    <t xml:space="preserve">$3.00 / 1M tok</t>
  </si>
  <si>
    <t xml:space="preserve">$15.00 / 1M tok</t>
  </si>
  <si>
    <t xml:space="preserve">Best balance for production. 1M context</t>
  </si>
  <si>
    <t xml:space="preserve">Claude Haiku 4.5</t>
  </si>
  <si>
    <t xml:space="preserve">$1.00 / 1M tok</t>
  </si>
  <si>
    <t xml:space="preserve">Fastest. Good for routing/classification</t>
  </si>
  <si>
    <t xml:space="preserve">Gemini 2.5 Pro</t>
  </si>
  <si>
    <t xml:space="preserve">$1.25 / 1M tok</t>
  </si>
  <si>
    <t xml:space="preserve">$10.00 / 1M tok</t>
  </si>
  <si>
    <t xml:space="preserve">≤200K ctx. Doubles &gt;200K tokens</t>
  </si>
  <si>
    <t xml:space="preserve">Gemini 2.5 Flash</t>
  </si>
  <si>
    <t xml:space="preserve">$0.30 / 1M tok</t>
  </si>
  <si>
    <t xml:space="preserve">$2.50 / 1M tok</t>
  </si>
  <si>
    <t xml:space="preserve">With thinking. $0.15/$0.60 without</t>
  </si>
  <si>
    <t xml:space="preserve">Gemini 3 Flash</t>
  </si>
  <si>
    <t xml:space="preserve">$0.50 / 1M tok</t>
  </si>
  <si>
    <t xml:space="preserve">Frontier at Flash pricing. Dec 2025</t>
  </si>
  <si>
    <t xml:space="preserve">Gemini 3 Pro</t>
  </si>
  <si>
    <t xml:space="preserve">$2.00 / 1M tok</t>
  </si>
  <si>
    <t xml:space="preserve">$12.00 / 1M tok</t>
  </si>
  <si>
    <t xml:space="preserve">Preview. Best multimodal</t>
  </si>
  <si>
    <t xml:space="preserve">GPT-5</t>
  </si>
  <si>
    <t xml:space="preserve">Most affordable flagship Jan 2026</t>
  </si>
  <si>
    <t xml:space="preserve">EMBEDDINGS</t>
  </si>
  <si>
    <t xml:space="preserve">text-embedding-3-small</t>
  </si>
  <si>
    <t xml:space="preserve">$0.02 / 1M tok</t>
  </si>
  <si>
    <t xml:space="preserve">N/A</t>
  </si>
  <si>
    <t xml:space="preserve">1536 dims. Best cost/perf ratio</t>
  </si>
  <si>
    <t xml:space="preserve">text-embedding-3-large</t>
  </si>
  <si>
    <t xml:space="preserve">$0.13 / 1M tok</t>
  </si>
  <si>
    <t xml:space="preserve">3072 dims. Higher quality</t>
  </si>
  <si>
    <t xml:space="preserve">Gemini embedding</t>
  </si>
  <si>
    <t xml:space="preserve">Free (AI Studio)</t>
  </si>
  <si>
    <t xml:space="preserve">Free tier available. $0.006/1M Vertex</t>
  </si>
  <si>
    <t xml:space="preserve">SANDBOX PROVIDERS</t>
  </si>
  <si>
    <t xml:space="preserve">E2B (Pro)</t>
  </si>
  <si>
    <t xml:space="preserve">$150/mo base</t>
  </si>
  <si>
    <t xml:space="preserve">$0.05/hr (1vCPU)</t>
  </si>
  <si>
    <t xml:space="preserve">Firecracker microVMs. 24hr sessions, 100 concurrent</t>
  </si>
  <si>
    <t xml:space="preserve">Daytona</t>
  </si>
  <si>
    <t xml:space="preserve">$200 free credits</t>
  </si>
  <si>
    <t xml:space="preserve">$0.067/hr (1vCPU)</t>
  </si>
  <si>
    <t xml:space="preserve">Sub-90ms cold start. Stateful persistence</t>
  </si>
  <si>
    <t xml:space="preserve">Novita Sandbox</t>
  </si>
  <si>
    <t xml:space="preserve">No base fee</t>
  </si>
  <si>
    <t xml:space="preserve">$0.035/hr (1vCPU)</t>
  </si>
  <si>
    <t xml:space="preserve">E2B-compatible API. 30% cheaper compute</t>
  </si>
  <si>
    <t xml:space="preserve">CodeSandbox</t>
  </si>
  <si>
    <t xml:space="preserve">Free (40hrs)</t>
  </si>
  <si>
    <t xml:space="preserve">$0.015/credit</t>
  </si>
  <si>
    <t xml:space="preserve">VM credit system. Pico VMs</t>
  </si>
  <si>
    <t xml:space="preserve">Vercel Sandbox</t>
  </si>
  <si>
    <t xml:space="preserve">Free (5 CPU-hrs)</t>
  </si>
  <si>
    <t xml:space="preserve">$0.128/CPU-hr</t>
  </si>
  <si>
    <t xml:space="preserve">Beta. 45min max runtime</t>
  </si>
  <si>
    <t xml:space="preserve">DATABASE / STORAGE</t>
  </si>
  <si>
    <t xml:space="preserve">Supabase Free</t>
  </si>
  <si>
    <t xml:space="preserve">500MB DB, 50K MAU, pgvector included</t>
  </si>
  <si>
    <t xml:space="preserve">Supabase Pro</t>
  </si>
  <si>
    <t xml:space="preserve">$25/month</t>
  </si>
  <si>
    <t xml:space="preserve">8GB DB, 100K MAU, daily backups</t>
  </si>
  <si>
    <t xml:space="preserve">Upstash Redis</t>
  </si>
  <si>
    <t xml:space="preserve">Free: 10K commands/day. Pay-as-you-go after</t>
  </si>
  <si>
    <t xml:space="preserve">HOSTING</t>
  </si>
  <si>
    <t xml:space="preserve">Vercel Hobby</t>
  </si>
  <si>
    <t xml:space="preserve">Non-commercial. 60s function timeout</t>
  </si>
  <si>
    <t xml:space="preserve">Vercel Pro</t>
  </si>
  <si>
    <t xml:space="preserve">$20/mo/member</t>
  </si>
  <si>
    <t xml:space="preserve">1TB bandwidth, 5min functions, team features</t>
  </si>
  <si>
    <t xml:space="preserve">Railway</t>
  </si>
  <si>
    <t xml:space="preserve">$5/month</t>
  </si>
  <si>
    <t xml:space="preserve">Starter. $0.000463/min vCPU. Good for backends</t>
  </si>
  <si>
    <t xml:space="preserve">Fly.io</t>
  </si>
  <si>
    <t xml:space="preserve">Free tier: 3 shared VMs. Pay as you scale</t>
  </si>
  <si>
    <t xml:space="preserve">Cost Optimization Strategies</t>
  </si>
  <si>
    <t xml:space="preserve">Strategy</t>
  </si>
  <si>
    <t xml:space="preserve">Details</t>
  </si>
  <si>
    <t xml:space="preserve">Estimated Savings</t>
  </si>
  <si>
    <t xml:space="preserve">LLM COST REDUCTION</t>
  </si>
  <si>
    <t xml:space="preserve">Prompt Caching (Claude)</t>
  </si>
  <si>
    <t xml:space="preserve">Cache system prompts + knowledge context. 90% discount on cached input tokens ($0.30 vs $3/1M)</t>
  </si>
  <si>
    <t xml:space="preserve">40-60% on LLM input</t>
  </si>
  <si>
    <t xml:space="preserve">Gemini Free Tier</t>
  </si>
  <si>
    <t xml:space="preserve">Use Google AI Studio free tier for canvas agent during MVP (1,500 RPD)</t>
  </si>
  <si>
    <t xml:space="preserve">100% on canvas agent (MVP)</t>
  </si>
  <si>
    <t xml:space="preserve">Model Routing</t>
  </si>
  <si>
    <t xml:space="preserve">Use Haiku ($1/$5) for simple tasks, Sonnet for code gen. Route by complexity</t>
  </si>
  <si>
    <t xml:space="preserve">30-50% on LLM overall</t>
  </si>
  <si>
    <t xml:space="preserve">Batch API (50% off)</t>
  </si>
  <si>
    <t xml:space="preserve">Non-urgent tasks (knowledge indexing, review) via Claude Batch API</t>
  </si>
  <si>
    <t xml:space="preserve">50% on batch-eligible calls</t>
  </si>
  <si>
    <t xml:space="preserve">Shorter Prompts</t>
  </si>
  <si>
    <t xml:space="preserve">Optimize system prompts. Strip unnecessary context. Use XML tags for structure</t>
  </si>
  <si>
    <t xml:space="preserve">10-20% across all LLM</t>
  </si>
  <si>
    <t xml:space="preserve">SANDBOX OPTIMIZATION</t>
  </si>
  <si>
    <t xml:space="preserve">Auto-Sleep Sandboxes</t>
  </si>
  <si>
    <t xml:space="preserve">Kill idle sandboxes after 5min inactivity instead of session timeout</t>
  </si>
  <si>
    <t xml:space="preserve">40-60% on sandbox compute</t>
  </si>
  <si>
    <t xml:space="preserve">Shared Templates</t>
  </si>
  <si>
    <t xml:space="preserve">Pre-built sandbox templates (Next.js, Flask) avoid repeated npm installs</t>
  </si>
  <si>
    <t xml:space="preserve">Reduced session startup time</t>
  </si>
  <si>
    <t xml:space="preserve">Switch to Novita/Self-Host</t>
  </si>
  <si>
    <t xml:space="preserve">Novita: 30% cheaper than E2B. Self-hosted Firecracker at scale</t>
  </si>
  <si>
    <t xml:space="preserve">30-70% on sandbox (at scale)</t>
  </si>
  <si>
    <t xml:space="preserve">INFRASTRUCTURE</t>
  </si>
  <si>
    <t xml:space="preserve">Supabase + pgvector</t>
  </si>
  <si>
    <t xml:space="preserve">Avoid separate vector DB (Pinecone $70/mo). Use pgvector in same Postgres</t>
  </si>
  <si>
    <t xml:space="preserve">$70+/mo saved</t>
  </si>
  <si>
    <t xml:space="preserve">Edge Caching</t>
  </si>
  <si>
    <t xml:space="preserve">Cache frequently accessed knowledge graph queries at CDN edge</t>
  </si>
  <si>
    <t xml:space="preserve">Reduced DB load + latency</t>
  </si>
  <si>
    <t xml:space="preserve">Free Tiers Stacking</t>
  </si>
  <si>
    <t xml:space="preserve">Supabase Free + Vercel Hobby + PostHog Free + Sentry Free</t>
  </si>
  <si>
    <t xml:space="preserve">$0 infra for MVP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</si>
</sst>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0%"/>
    <numFmt numFmtId="167" formatCode="\$#,##0"/>
    <numFmt numFmtId="168" formatCode="\$#,##0.00"/>
    <numFmt numFmtId="169" formatCode="\$#,##0;&quot;($&quot;#,##0\);\-"/>
    <numFmt numFmtId="170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E2EFDA"/>
      </patternFill>
    </fill>
    <fill>
      <patternFill patternType="solid">
        <fgColor rgb="FF538135"/>
        <bgColor rgb="FF808000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538135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4"/>
      <c r="C4" s="4"/>
      <c r="D4" s="4"/>
      <c r="E4" s="4"/>
    </row>
    <row r="5" customFormat="false" ht="15" hidden="false" customHeight="false" outlineLevel="0" collapsed="false">
      <c r="A5" s="5" t="s">
        <v>7</v>
      </c>
      <c r="B5" s="6" t="n">
        <v>20</v>
      </c>
      <c r="C5" s="6" t="n">
        <v>200</v>
      </c>
      <c r="D5" s="6" t="n">
        <v>1000</v>
      </c>
      <c r="E5" s="5" t="s">
        <v>8</v>
      </c>
    </row>
    <row r="6" customFormat="false" ht="15" hidden="false" customHeight="false" outlineLevel="0" collapsed="false">
      <c r="A6" s="5" t="s">
        <v>9</v>
      </c>
      <c r="B6" s="6" t="n">
        <v>5</v>
      </c>
      <c r="C6" s="6" t="n">
        <v>40</v>
      </c>
      <c r="D6" s="6" t="n">
        <v>150</v>
      </c>
      <c r="E6" s="5" t="s">
        <v>10</v>
      </c>
    </row>
    <row r="7" customFormat="false" ht="15" hidden="false" customHeight="false" outlineLevel="0" collapsed="false">
      <c r="A7" s="5" t="s">
        <v>11</v>
      </c>
      <c r="B7" s="6" t="n">
        <v>15</v>
      </c>
      <c r="C7" s="6" t="n">
        <v>12</v>
      </c>
      <c r="D7" s="6" t="n">
        <v>10</v>
      </c>
      <c r="E7" s="5" t="s">
        <v>12</v>
      </c>
    </row>
    <row r="8" customFormat="false" ht="15" hidden="false" customHeight="false" outlineLevel="0" collapsed="false">
      <c r="A8" s="5" t="s">
        <v>13</v>
      </c>
      <c r="B8" s="6" t="n">
        <v>30</v>
      </c>
      <c r="C8" s="6" t="n">
        <v>25</v>
      </c>
      <c r="D8" s="6" t="n">
        <v>20</v>
      </c>
      <c r="E8" s="5" t="s">
        <v>14</v>
      </c>
    </row>
    <row r="9" customFormat="false" ht="15" hidden="false" customHeight="false" outlineLevel="0" collapsed="false">
      <c r="A9" s="7" t="s">
        <v>15</v>
      </c>
      <c r="B9" s="8" t="n">
        <f aca="false">B5*B7*B8/60</f>
        <v>150</v>
      </c>
      <c r="C9" s="8" t="n">
        <f aca="false">C5*C7*C8/60</f>
        <v>1000</v>
      </c>
      <c r="D9" s="8" t="n">
        <f aca="false">D5*D7*D8/60</f>
        <v>3333.33333333333</v>
      </c>
      <c r="E9" s="9" t="s">
        <v>16</v>
      </c>
    </row>
    <row r="11" customFormat="false" ht="15" hidden="false" customHeight="false" outlineLevel="0" collapsed="false">
      <c r="A11" s="3" t="s">
        <v>17</v>
      </c>
      <c r="B11" s="4"/>
      <c r="C11" s="4"/>
      <c r="D11" s="4"/>
      <c r="E11" s="4"/>
    </row>
    <row r="12" customFormat="false" ht="15" hidden="false" customHeight="false" outlineLevel="0" collapsed="false">
      <c r="A12" s="5" t="s">
        <v>18</v>
      </c>
      <c r="B12" s="6" t="n">
        <v>8</v>
      </c>
      <c r="C12" s="6" t="n">
        <v>8</v>
      </c>
      <c r="D12" s="6" t="n">
        <v>8</v>
      </c>
      <c r="E12" s="5" t="s">
        <v>19</v>
      </c>
    </row>
    <row r="13" customFormat="false" ht="15" hidden="false" customHeight="false" outlineLevel="0" collapsed="false">
      <c r="A13" s="5" t="s">
        <v>20</v>
      </c>
      <c r="B13" s="6" t="n">
        <v>12</v>
      </c>
      <c r="C13" s="6" t="n">
        <v>12</v>
      </c>
      <c r="D13" s="6" t="n">
        <v>12</v>
      </c>
      <c r="E13" s="5" t="s">
        <v>21</v>
      </c>
    </row>
    <row r="14" customFormat="false" ht="15" hidden="false" customHeight="false" outlineLevel="0" collapsed="false">
      <c r="A14" s="5" t="s">
        <v>22</v>
      </c>
      <c r="B14" s="6" t="n">
        <v>4000</v>
      </c>
      <c r="C14" s="6" t="n">
        <v>4000</v>
      </c>
      <c r="D14" s="6" t="n">
        <v>4000</v>
      </c>
      <c r="E14" s="5" t="s">
        <v>23</v>
      </c>
    </row>
    <row r="15" customFormat="false" ht="15" hidden="false" customHeight="false" outlineLevel="0" collapsed="false">
      <c r="A15" s="5" t="s">
        <v>24</v>
      </c>
      <c r="B15" s="6" t="n">
        <v>2000</v>
      </c>
      <c r="C15" s="6" t="n">
        <v>2000</v>
      </c>
      <c r="D15" s="6" t="n">
        <v>2000</v>
      </c>
      <c r="E15" s="5" t="s">
        <v>25</v>
      </c>
    </row>
    <row r="16" customFormat="false" ht="15" hidden="false" customHeight="false" outlineLevel="0" collapsed="false">
      <c r="A16" s="7" t="s">
        <v>26</v>
      </c>
      <c r="B16" s="10" t="n">
        <f aca="false">B5*B7</f>
        <v>300</v>
      </c>
      <c r="C16" s="10" t="n">
        <f aca="false">C5*C7</f>
        <v>2400</v>
      </c>
      <c r="D16" s="10" t="n">
        <f aca="false">D5*D7</f>
        <v>10000</v>
      </c>
      <c r="E16" s="9" t="s">
        <v>27</v>
      </c>
    </row>
    <row r="18" customFormat="false" ht="15" hidden="false" customHeight="false" outlineLevel="0" collapsed="false">
      <c r="A18" s="3" t="s">
        <v>28</v>
      </c>
      <c r="B18" s="4"/>
      <c r="C18" s="4"/>
      <c r="D18" s="4"/>
      <c r="E18" s="4"/>
    </row>
    <row r="19" customFormat="false" ht="15" hidden="false" customHeight="false" outlineLevel="0" collapsed="false">
      <c r="A19" s="5" t="s">
        <v>29</v>
      </c>
      <c r="B19" s="11" t="n">
        <v>0.1</v>
      </c>
      <c r="C19" s="11" t="n">
        <v>0.15</v>
      </c>
      <c r="D19" s="11" t="n">
        <v>0.2</v>
      </c>
      <c r="E19" s="5" t="s">
        <v>30</v>
      </c>
    </row>
    <row r="20" customFormat="false" ht="15" hidden="false" customHeight="false" outlineLevel="0" collapsed="false">
      <c r="A20" s="5" t="s">
        <v>31</v>
      </c>
      <c r="B20" s="6" t="n">
        <v>25</v>
      </c>
      <c r="C20" s="6" t="n">
        <v>25</v>
      </c>
      <c r="D20" s="6" t="n">
        <v>25</v>
      </c>
      <c r="E20" s="5" t="s">
        <v>32</v>
      </c>
    </row>
    <row r="21" customFormat="false" ht="15" hidden="false" customHeight="false" outlineLevel="0" collapsed="false">
      <c r="A21" s="7" t="s">
        <v>33</v>
      </c>
      <c r="B21" s="12" t="n">
        <f aca="false">B5*B19*B20</f>
        <v>50</v>
      </c>
      <c r="C21" s="12" t="n">
        <f aca="false">C5*C19*C20</f>
        <v>750</v>
      </c>
      <c r="D21" s="12" t="n">
        <f aca="false">D5*D19*D20</f>
        <v>5000</v>
      </c>
      <c r="E21" s="9" t="s">
        <v>34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6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3" t="s">
        <v>35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2" t="s">
        <v>36</v>
      </c>
      <c r="B2" s="2" t="s">
        <v>37</v>
      </c>
      <c r="C2" s="2" t="s">
        <v>38</v>
      </c>
      <c r="D2" s="2" t="s">
        <v>39</v>
      </c>
      <c r="E2" s="2" t="s">
        <v>40</v>
      </c>
      <c r="F2" s="2" t="s">
        <v>41</v>
      </c>
    </row>
    <row r="3" customFormat="false" ht="15" hidden="false" customHeight="false" outlineLevel="0" collapsed="false">
      <c r="A3" s="3" t="s">
        <v>42</v>
      </c>
      <c r="B3" s="3"/>
      <c r="C3" s="3"/>
      <c r="D3" s="3"/>
      <c r="E3" s="3"/>
      <c r="F3" s="3"/>
    </row>
    <row r="4" customFormat="false" ht="15" hidden="false" customHeight="false" outlineLevel="0" collapsed="false">
      <c r="A4" s="5" t="s">
        <v>43</v>
      </c>
      <c r="B4" s="5" t="s">
        <v>44</v>
      </c>
      <c r="C4" s="14" t="n">
        <v>150</v>
      </c>
      <c r="D4" s="14" t="n">
        <v>150</v>
      </c>
      <c r="E4" s="14" t="n">
        <v>150</v>
      </c>
      <c r="F4" s="5" t="s">
        <v>45</v>
      </c>
    </row>
    <row r="5" customFormat="false" ht="15" hidden="false" customHeight="false" outlineLevel="0" collapsed="false">
      <c r="A5" s="5" t="s">
        <v>46</v>
      </c>
      <c r="B5" s="5" t="s">
        <v>47</v>
      </c>
      <c r="C5" s="14" t="n">
        <f aca="false">Assumptions!B9*0.05</f>
        <v>7.5</v>
      </c>
      <c r="D5" s="14" t="n">
        <f aca="false">Assumptions!C9*0.05</f>
        <v>50</v>
      </c>
      <c r="E5" s="14" t="n">
        <f aca="false">Assumptions!D9*0.05</f>
        <v>166.666666666667</v>
      </c>
      <c r="F5" s="5" t="s">
        <v>48</v>
      </c>
    </row>
    <row r="6" customFormat="false" ht="15" hidden="false" customHeight="false" outlineLevel="0" collapsed="false">
      <c r="A6" s="15" t="s">
        <v>49</v>
      </c>
      <c r="B6" s="15"/>
      <c r="C6" s="16" t="n">
        <f aca="false">SUM(C4:C5)</f>
        <v>157.5</v>
      </c>
      <c r="D6" s="16" t="n">
        <f aca="false">SUM(D4:D5)</f>
        <v>200</v>
      </c>
      <c r="E6" s="16" t="n">
        <f aca="false">SUM(E4:E5)</f>
        <v>316.666666666667</v>
      </c>
      <c r="F6" s="15"/>
    </row>
    <row r="8" customFormat="false" ht="15" hidden="false" customHeight="false" outlineLevel="0" collapsed="false">
      <c r="A8" s="3" t="s">
        <v>50</v>
      </c>
      <c r="B8" s="3"/>
      <c r="C8" s="3"/>
      <c r="D8" s="3"/>
      <c r="E8" s="3"/>
      <c r="F8" s="3"/>
    </row>
    <row r="9" customFormat="false" ht="15" hidden="false" customHeight="false" outlineLevel="0" collapsed="false">
      <c r="A9" s="5" t="s">
        <v>51</v>
      </c>
      <c r="B9" s="5" t="s">
        <v>52</v>
      </c>
      <c r="C9" s="17" t="n">
        <f aca="false">Assumptions!B16*Assumptions!B12*Assumptions!B14/1000000*0.5</f>
        <v>4.8</v>
      </c>
      <c r="D9" s="17" t="n">
        <f aca="false">Assumptions!C16*Assumptions!C12*Assumptions!C14/1000000*0.5</f>
        <v>38.4</v>
      </c>
      <c r="E9" s="17" t="n">
        <f aca="false">Assumptions!D16*Assumptions!D12*Assumptions!D14/1000000*0.5</f>
        <v>160</v>
      </c>
      <c r="F9" s="5" t="s">
        <v>53</v>
      </c>
    </row>
    <row r="10" customFormat="false" ht="15" hidden="false" customHeight="false" outlineLevel="0" collapsed="false">
      <c r="A10" s="5" t="s">
        <v>54</v>
      </c>
      <c r="B10" s="5" t="s">
        <v>55</v>
      </c>
      <c r="C10" s="17" t="n">
        <f aca="false">Assumptions!B16*Assumptions!B12*Assumptions!B15/1000000*2.5</f>
        <v>12</v>
      </c>
      <c r="D10" s="17" t="n">
        <f aca="false">Assumptions!C16*Assumptions!C12*Assumptions!C15/1000000*2.5</f>
        <v>96</v>
      </c>
      <c r="E10" s="17" t="n">
        <f aca="false">Assumptions!D16*Assumptions!D12*Assumptions!D15/1000000*2.5</f>
        <v>400</v>
      </c>
      <c r="F10" s="5" t="s">
        <v>56</v>
      </c>
    </row>
    <row r="11" customFormat="false" ht="15" hidden="false" customHeight="false" outlineLevel="0" collapsed="false">
      <c r="A11" s="5" t="s">
        <v>57</v>
      </c>
      <c r="B11" s="5" t="s">
        <v>58</v>
      </c>
      <c r="C11" s="17" t="n">
        <f aca="false">Assumptions!B16*Assumptions!B13*Assumptions!B14/1000000*3</f>
        <v>43.2</v>
      </c>
      <c r="D11" s="17" t="n">
        <f aca="false">Assumptions!C16*Assumptions!C13*Assumptions!C14/1000000*3</f>
        <v>345.6</v>
      </c>
      <c r="E11" s="17" t="n">
        <f aca="false">Assumptions!D16*Assumptions!D13*Assumptions!D14/1000000*3</f>
        <v>1440</v>
      </c>
      <c r="F11" s="5" t="s">
        <v>59</v>
      </c>
    </row>
    <row r="12" customFormat="false" ht="15" hidden="false" customHeight="false" outlineLevel="0" collapsed="false">
      <c r="A12" s="5" t="s">
        <v>60</v>
      </c>
      <c r="B12" s="5" t="s">
        <v>61</v>
      </c>
      <c r="C12" s="17" t="n">
        <f aca="false">Assumptions!B16*Assumptions!B13*Assumptions!B15/1000000*15</f>
        <v>108</v>
      </c>
      <c r="D12" s="17" t="n">
        <f aca="false">Assumptions!C16*Assumptions!C13*Assumptions!C15/1000000*15</f>
        <v>864</v>
      </c>
      <c r="E12" s="17" t="n">
        <f aca="false">Assumptions!D16*Assumptions!D13*Assumptions!D15/1000000*15</f>
        <v>3600</v>
      </c>
      <c r="F12" s="5" t="s">
        <v>62</v>
      </c>
    </row>
    <row r="13" customFormat="false" ht="15" hidden="false" customHeight="false" outlineLevel="0" collapsed="false">
      <c r="A13" s="5" t="s">
        <v>63</v>
      </c>
      <c r="B13" s="5" t="s">
        <v>64</v>
      </c>
      <c r="C13" s="18" t="n">
        <f aca="false">Assumptions!B16*50000/1000000*0.02</f>
        <v>0.3</v>
      </c>
      <c r="D13" s="18" t="n">
        <f aca="false">Assumptions!C16*50000/1000000*0.02</f>
        <v>2.4</v>
      </c>
      <c r="E13" s="18" t="n">
        <f aca="false">Assumptions!D16*50000/1000000*0.02</f>
        <v>10</v>
      </c>
      <c r="F13" s="5" t="s">
        <v>65</v>
      </c>
    </row>
    <row r="14" customFormat="false" ht="15" hidden="false" customHeight="false" outlineLevel="0" collapsed="false">
      <c r="A14" s="15" t="s">
        <v>66</v>
      </c>
      <c r="B14" s="15"/>
      <c r="C14" s="16" t="n">
        <f aca="false">SUM(C9:C13)</f>
        <v>168.3</v>
      </c>
      <c r="D14" s="16" t="n">
        <f aca="false">SUM(D9:D13)</f>
        <v>1346.4</v>
      </c>
      <c r="E14" s="16" t="n">
        <f aca="false">SUM(E9:E13)</f>
        <v>5610</v>
      </c>
      <c r="F14" s="15"/>
    </row>
    <row r="16" customFormat="false" ht="15" hidden="false" customHeight="false" outlineLevel="0" collapsed="false">
      <c r="A16" s="3" t="s">
        <v>67</v>
      </c>
      <c r="B16" s="3"/>
      <c r="C16" s="3"/>
      <c r="D16" s="3"/>
      <c r="E16" s="3"/>
      <c r="F16" s="3"/>
    </row>
    <row r="17" customFormat="false" ht="15" hidden="false" customHeight="false" outlineLevel="0" collapsed="false">
      <c r="A17" s="5" t="s">
        <v>68</v>
      </c>
      <c r="B17" s="5" t="s">
        <v>69</v>
      </c>
      <c r="C17" s="19" t="n">
        <v>0</v>
      </c>
      <c r="D17" s="19" t="n">
        <v>25</v>
      </c>
      <c r="E17" s="19" t="n">
        <v>25</v>
      </c>
      <c r="F17" s="5" t="s">
        <v>70</v>
      </c>
    </row>
    <row r="18" customFormat="false" ht="15" hidden="false" customHeight="false" outlineLevel="0" collapsed="false">
      <c r="A18" s="5" t="s">
        <v>71</v>
      </c>
      <c r="B18" s="5" t="s">
        <v>72</v>
      </c>
      <c r="C18" s="19" t="n">
        <v>0</v>
      </c>
      <c r="D18" s="19" t="n">
        <v>0</v>
      </c>
      <c r="E18" s="19" t="n">
        <v>10</v>
      </c>
      <c r="F18" s="5" t="s">
        <v>73</v>
      </c>
    </row>
    <row r="19" customFormat="false" ht="15" hidden="false" customHeight="false" outlineLevel="0" collapsed="false">
      <c r="A19" s="15" t="s">
        <v>74</v>
      </c>
      <c r="B19" s="15"/>
      <c r="C19" s="16" t="n">
        <f aca="false">SUM(C17:C18)</f>
        <v>0</v>
      </c>
      <c r="D19" s="16" t="n">
        <f aca="false">SUM(D17:D18)</f>
        <v>25</v>
      </c>
      <c r="E19" s="16" t="n">
        <f aca="false">SUM(E17:E18)</f>
        <v>35</v>
      </c>
      <c r="F19" s="15"/>
    </row>
    <row r="21" customFormat="false" ht="15" hidden="false" customHeight="false" outlineLevel="0" collapsed="false">
      <c r="A21" s="3" t="s">
        <v>75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5" t="s">
        <v>76</v>
      </c>
      <c r="B22" s="5" t="s">
        <v>77</v>
      </c>
      <c r="C22" s="19" t="n">
        <v>0</v>
      </c>
      <c r="D22" s="19" t="n">
        <v>20</v>
      </c>
      <c r="E22" s="19" t="n">
        <v>20</v>
      </c>
      <c r="F22" s="5" t="s">
        <v>78</v>
      </c>
    </row>
    <row r="23" customFormat="false" ht="15" hidden="false" customHeight="false" outlineLevel="0" collapsed="false">
      <c r="A23" s="5" t="s">
        <v>79</v>
      </c>
      <c r="B23" s="5" t="s">
        <v>80</v>
      </c>
      <c r="C23" s="19" t="n">
        <v>5</v>
      </c>
      <c r="D23" s="19" t="n">
        <v>15</v>
      </c>
      <c r="E23" s="19" t="n">
        <v>50</v>
      </c>
      <c r="F23" s="5" t="s">
        <v>81</v>
      </c>
    </row>
    <row r="24" customFormat="false" ht="15" hidden="false" customHeight="false" outlineLevel="0" collapsed="false">
      <c r="A24" s="5" t="s">
        <v>82</v>
      </c>
      <c r="B24" s="5" t="s">
        <v>83</v>
      </c>
      <c r="C24" s="19" t="n">
        <v>1</v>
      </c>
      <c r="D24" s="19" t="n">
        <v>1</v>
      </c>
      <c r="E24" s="19" t="n">
        <v>1</v>
      </c>
      <c r="F24" s="5" t="s">
        <v>84</v>
      </c>
    </row>
    <row r="25" customFormat="false" ht="15" hidden="false" customHeight="false" outlineLevel="0" collapsed="false">
      <c r="A25" s="15" t="s">
        <v>85</v>
      </c>
      <c r="B25" s="15"/>
      <c r="C25" s="16" t="n">
        <f aca="false">SUM(C22:C24)</f>
        <v>6</v>
      </c>
      <c r="D25" s="16" t="n">
        <f aca="false">SUM(D22:D24)</f>
        <v>36</v>
      </c>
      <c r="E25" s="16" t="n">
        <f aca="false">SUM(E22:E24)</f>
        <v>71</v>
      </c>
      <c r="F25" s="15"/>
    </row>
    <row r="27" customFormat="false" ht="15" hidden="false" customHeight="false" outlineLevel="0" collapsed="false">
      <c r="A27" s="3" t="s">
        <v>86</v>
      </c>
      <c r="B27" s="3"/>
      <c r="C27" s="3"/>
      <c r="D27" s="3"/>
      <c r="E27" s="3"/>
      <c r="F27" s="3"/>
    </row>
    <row r="28" customFormat="false" ht="15" hidden="false" customHeight="false" outlineLevel="0" collapsed="false">
      <c r="A28" s="5" t="s">
        <v>87</v>
      </c>
      <c r="B28" s="5" t="s">
        <v>88</v>
      </c>
      <c r="C28" s="19" t="n">
        <v>0</v>
      </c>
      <c r="D28" s="19" t="n">
        <v>0</v>
      </c>
      <c r="E28" s="19" t="n">
        <v>0</v>
      </c>
      <c r="F28" s="5" t="s">
        <v>89</v>
      </c>
    </row>
    <row r="29" customFormat="false" ht="15" hidden="false" customHeight="false" outlineLevel="0" collapsed="false">
      <c r="A29" s="5" t="s">
        <v>90</v>
      </c>
      <c r="B29" s="5" t="s">
        <v>88</v>
      </c>
      <c r="C29" s="19" t="n">
        <v>0</v>
      </c>
      <c r="D29" s="19" t="n">
        <v>0</v>
      </c>
      <c r="E29" s="19" t="n">
        <v>29</v>
      </c>
      <c r="F29" s="5" t="s">
        <v>91</v>
      </c>
    </row>
    <row r="30" customFormat="false" ht="15" hidden="false" customHeight="false" outlineLevel="0" collapsed="false">
      <c r="A30" s="5" t="s">
        <v>92</v>
      </c>
      <c r="B30" s="5" t="s">
        <v>88</v>
      </c>
      <c r="C30" s="19" t="n">
        <v>0</v>
      </c>
      <c r="D30" s="19" t="n">
        <v>0</v>
      </c>
      <c r="E30" s="19" t="n">
        <v>0</v>
      </c>
      <c r="F30" s="5" t="s">
        <v>93</v>
      </c>
    </row>
    <row r="31" customFormat="false" ht="15" hidden="false" customHeight="false" outlineLevel="0" collapsed="false">
      <c r="A31" s="15" t="s">
        <v>94</v>
      </c>
      <c r="B31" s="15"/>
      <c r="C31" s="16" t="n">
        <f aca="false">SUM(C28:C30)</f>
        <v>0</v>
      </c>
      <c r="D31" s="16" t="n">
        <f aca="false">SUM(D28:D30)</f>
        <v>0</v>
      </c>
      <c r="E31" s="16" t="n">
        <f aca="false">SUM(E28:E30)</f>
        <v>29</v>
      </c>
      <c r="F31" s="15"/>
    </row>
    <row r="33" customFormat="false" ht="15" hidden="false" customHeight="false" outlineLevel="0" collapsed="false">
      <c r="A33" s="20" t="s">
        <v>95</v>
      </c>
      <c r="B33" s="20"/>
      <c r="C33" s="21" t="n">
        <f aca="false">C6+C14+C19+C25+C31</f>
        <v>331.8</v>
      </c>
      <c r="D33" s="21" t="n">
        <f aca="false">D6+D14+D19+D25+D31</f>
        <v>1607.4</v>
      </c>
      <c r="E33" s="21" t="n">
        <f aca="false">E6+E14+E19+E25+E31</f>
        <v>6061.66666666667</v>
      </c>
      <c r="F33" s="20"/>
    </row>
    <row r="34" customFormat="false" ht="15" hidden="false" customHeight="false" outlineLevel="0" collapsed="false">
      <c r="A34" s="22" t="s">
        <v>96</v>
      </c>
      <c r="C34" s="17" t="n">
        <f aca="false">Assumptions!B21</f>
        <v>50</v>
      </c>
      <c r="D34" s="17" t="n">
        <f aca="false">Assumptions!C21</f>
        <v>750</v>
      </c>
      <c r="E34" s="17" t="n">
        <f aca="false">Assumptions!D21</f>
        <v>5000</v>
      </c>
    </row>
    <row r="35" customFormat="false" ht="15" hidden="false" customHeight="false" outlineLevel="0" collapsed="false">
      <c r="A35" s="23" t="s">
        <v>97</v>
      </c>
      <c r="C35" s="24" t="n">
        <f aca="false">C34-C33</f>
        <v>-281.8</v>
      </c>
      <c r="D35" s="24" t="n">
        <f aca="false">D34-D33</f>
        <v>-857.4</v>
      </c>
      <c r="E35" s="24" t="n">
        <f aca="false">E34-E33</f>
        <v>-1061.66666666667</v>
      </c>
    </row>
    <row r="36" customFormat="false" ht="15" hidden="false" customHeight="false" outlineLevel="0" collapsed="false">
      <c r="A36" s="22" t="s">
        <v>98</v>
      </c>
      <c r="C36" s="25" t="n">
        <f aca="false">IF(C34=0,"N/A",C35/C34)</f>
        <v>-5.636</v>
      </c>
      <c r="D36" s="25" t="n">
        <f aca="false">IF(D34=0,"N/A",D35/D34)</f>
        <v>-1.1432</v>
      </c>
      <c r="E36" s="25" t="n">
        <f aca="false">IF(E34=0,"N/A",E35/E34)</f>
        <v>-0.212333333333333</v>
      </c>
    </row>
    <row r="38" customFormat="false" ht="15" hidden="false" customHeight="false" outlineLevel="0" collapsed="false">
      <c r="A38" s="3" t="s">
        <v>99</v>
      </c>
      <c r="B38" s="4"/>
      <c r="C38" s="4"/>
      <c r="D38" s="4"/>
      <c r="E38" s="4"/>
      <c r="F38" s="4"/>
    </row>
    <row r="39" customFormat="false" ht="15" hidden="false" customHeight="false" outlineLevel="0" collapsed="false">
      <c r="A39" s="5" t="s">
        <v>100</v>
      </c>
      <c r="C39" s="18" t="n">
        <f aca="false">C33/Assumptions!B5</f>
        <v>16.59</v>
      </c>
      <c r="D39" s="18" t="n">
        <f aca="false">D33/Assumptions!C5</f>
        <v>8.037</v>
      </c>
      <c r="E39" s="18" t="n">
        <f aca="false">E33/Assumptions!D5</f>
        <v>6.06166666666667</v>
      </c>
    </row>
    <row r="40" customFormat="false" ht="15" hidden="false" customHeight="false" outlineLevel="0" collapsed="false">
      <c r="A40" s="5" t="s">
        <v>101</v>
      </c>
      <c r="C40" s="18" t="n">
        <f aca="false">C14/Assumptions!B16</f>
        <v>0.561</v>
      </c>
      <c r="D40" s="18" t="n">
        <f aca="false">D14/Assumptions!C16</f>
        <v>0.561</v>
      </c>
      <c r="E40" s="18" t="n">
        <f aca="false">E14/Assumptions!D16</f>
        <v>0.561</v>
      </c>
    </row>
    <row r="41" customFormat="false" ht="15" hidden="false" customHeight="false" outlineLevel="0" collapsed="false">
      <c r="A41" s="5" t="s">
        <v>102</v>
      </c>
      <c r="C41" s="18" t="n">
        <f aca="false">C6/Assumptions!B16</f>
        <v>0.525</v>
      </c>
      <c r="D41" s="18" t="n">
        <f aca="false">D6/Assumptions!C16</f>
        <v>0.0833333333333333</v>
      </c>
      <c r="E41" s="18" t="n">
        <f aca="false">E6/Assumptions!D16</f>
        <v>0.0316666666666667</v>
      </c>
    </row>
    <row r="42" customFormat="false" ht="15" hidden="false" customHeight="false" outlineLevel="0" collapsed="false">
      <c r="A42" s="5" t="s">
        <v>103</v>
      </c>
      <c r="C42" s="18" t="n">
        <f aca="false">Assumptions!B20-C39</f>
        <v>8.41</v>
      </c>
      <c r="D42" s="18" t="n">
        <f aca="false">Assumptions!C20-D39</f>
        <v>16.963</v>
      </c>
      <c r="E42" s="18" t="n">
        <f aca="false">Assumptions!D20-E39</f>
        <v>18.9383333333333</v>
      </c>
      <c r="F42" s="5" t="s">
        <v>104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38135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5"/>
  </cols>
  <sheetData>
    <row r="1" customFormat="false" ht="17.35" hidden="false" customHeight="false" outlineLevel="0" collapsed="false">
      <c r="A1" s="26" t="s">
        <v>105</v>
      </c>
      <c r="B1" s="26"/>
      <c r="C1" s="26"/>
      <c r="D1" s="26"/>
    </row>
    <row r="2" customFormat="false" ht="15" hidden="false" customHeight="false" outlineLevel="0" collapsed="false">
      <c r="A2" s="2" t="s">
        <v>106</v>
      </c>
      <c r="B2" s="2" t="s">
        <v>38</v>
      </c>
      <c r="C2" s="2" t="s">
        <v>39</v>
      </c>
      <c r="D2" s="2" t="s">
        <v>40</v>
      </c>
    </row>
    <row r="3" customFormat="false" ht="15" hidden="false" customHeight="false" outlineLevel="0" collapsed="false">
      <c r="A3" s="5" t="s">
        <v>107</v>
      </c>
      <c r="B3" s="17" t="n">
        <f aca="false">'Cost Breakdown'!C6</f>
        <v>157.5</v>
      </c>
      <c r="C3" s="17" t="n">
        <f aca="false">'Cost Breakdown'!D6</f>
        <v>200</v>
      </c>
      <c r="D3" s="17" t="n">
        <f aca="false">'Cost Breakdown'!E6</f>
        <v>316.666666666667</v>
      </c>
    </row>
    <row r="4" customFormat="false" ht="15" hidden="false" customHeight="false" outlineLevel="0" collapsed="false">
      <c r="A4" s="5" t="s">
        <v>108</v>
      </c>
      <c r="B4" s="17" t="n">
        <f aca="false">'Cost Breakdown'!C14</f>
        <v>168.3</v>
      </c>
      <c r="C4" s="17" t="n">
        <f aca="false">'Cost Breakdown'!D14</f>
        <v>1346.4</v>
      </c>
      <c r="D4" s="17" t="n">
        <f aca="false">'Cost Breakdown'!E14</f>
        <v>5610</v>
      </c>
    </row>
    <row r="5" customFormat="false" ht="15" hidden="false" customHeight="false" outlineLevel="0" collapsed="false">
      <c r="A5" s="5" t="s">
        <v>109</v>
      </c>
      <c r="B5" s="17" t="n">
        <f aca="false">'Cost Breakdown'!C19</f>
        <v>0</v>
      </c>
      <c r="C5" s="17" t="n">
        <f aca="false">'Cost Breakdown'!D19</f>
        <v>25</v>
      </c>
      <c r="D5" s="17" t="n">
        <f aca="false">'Cost Breakdown'!E19</f>
        <v>35</v>
      </c>
    </row>
    <row r="6" customFormat="false" ht="15" hidden="false" customHeight="false" outlineLevel="0" collapsed="false">
      <c r="A6" s="5" t="s">
        <v>110</v>
      </c>
      <c r="B6" s="17" t="n">
        <f aca="false">'Cost Breakdown'!C25</f>
        <v>6</v>
      </c>
      <c r="C6" s="17" t="n">
        <f aca="false">'Cost Breakdown'!D25</f>
        <v>36</v>
      </c>
      <c r="D6" s="17" t="n">
        <f aca="false">'Cost Breakdown'!E25</f>
        <v>71</v>
      </c>
    </row>
    <row r="7" customFormat="false" ht="15" hidden="false" customHeight="false" outlineLevel="0" collapsed="false">
      <c r="A7" s="5" t="s">
        <v>111</v>
      </c>
      <c r="B7" s="17" t="n">
        <f aca="false">'Cost Breakdown'!C31</f>
        <v>0</v>
      </c>
      <c r="C7" s="17" t="n">
        <f aca="false">'Cost Breakdown'!D31</f>
        <v>0</v>
      </c>
      <c r="D7" s="17" t="n">
        <f aca="false">'Cost Breakdown'!E31</f>
        <v>29</v>
      </c>
    </row>
    <row r="8" customFormat="false" ht="15" hidden="false" customHeight="false" outlineLevel="0" collapsed="false">
      <c r="A8" s="15" t="s">
        <v>112</v>
      </c>
      <c r="B8" s="16" t="n">
        <f aca="false">SUM(B3:B7)</f>
        <v>331.8</v>
      </c>
      <c r="C8" s="16" t="n">
        <f aca="false">SUM(C3:C7)</f>
        <v>1607.4</v>
      </c>
      <c r="D8" s="16" t="n">
        <f aca="false">SUM(D3:D7)</f>
        <v>6061.66666666667</v>
      </c>
    </row>
    <row r="10" customFormat="false" ht="15" hidden="false" customHeight="false" outlineLevel="0" collapsed="false">
      <c r="A10" s="2" t="s">
        <v>113</v>
      </c>
      <c r="B10" s="2" t="s">
        <v>38</v>
      </c>
      <c r="C10" s="2" t="s">
        <v>39</v>
      </c>
      <c r="D10" s="2" t="s">
        <v>40</v>
      </c>
    </row>
    <row r="11" customFormat="false" ht="15" hidden="false" customHeight="false" outlineLevel="0" collapsed="false">
      <c r="A11" s="5" t="s">
        <v>107</v>
      </c>
      <c r="B11" s="25" t="n">
        <f aca="false">IF(B8=0,0,B3/B8)</f>
        <v>0.474683544303797</v>
      </c>
      <c r="C11" s="25" t="n">
        <f aca="false">IF(C8=0,0,C3/C8)</f>
        <v>0.124424536518601</v>
      </c>
      <c r="D11" s="25" t="n">
        <f aca="false">IF(D8=0,0,D3/D8)</f>
        <v>0.0522408578498763</v>
      </c>
    </row>
    <row r="12" customFormat="false" ht="15" hidden="false" customHeight="false" outlineLevel="0" collapsed="false">
      <c r="A12" s="5" t="s">
        <v>108</v>
      </c>
      <c r="B12" s="25" t="n">
        <f aca="false">IF(B8=0,0,B4/B8)</f>
        <v>0.507233273056058</v>
      </c>
      <c r="C12" s="25" t="n">
        <f aca="false">IF(C8=0,0,C4/C8)</f>
        <v>0.837625979843225</v>
      </c>
      <c r="D12" s="25" t="n">
        <f aca="false">IF(D8=0,0,D4/D8)</f>
        <v>0.925488039593071</v>
      </c>
    </row>
    <row r="13" customFormat="false" ht="15" hidden="false" customHeight="false" outlineLevel="0" collapsed="false">
      <c r="A13" s="5" t="s">
        <v>109</v>
      </c>
      <c r="B13" s="25" t="n">
        <f aca="false">IF(B8=0,0,B5/B8)</f>
        <v>0</v>
      </c>
      <c r="C13" s="25" t="n">
        <f aca="false">IF(C8=0,0,C5/C8)</f>
        <v>0.0155530670648252</v>
      </c>
      <c r="D13" s="25" t="n">
        <f aca="false">IF(D8=0,0,D5/D8)</f>
        <v>0.00577398955182843</v>
      </c>
    </row>
    <row r="14" customFormat="false" ht="15" hidden="false" customHeight="false" outlineLevel="0" collapsed="false">
      <c r="A14" s="5" t="s">
        <v>110</v>
      </c>
      <c r="B14" s="25" t="n">
        <f aca="false">IF(B8=0,0,B6/B8)</f>
        <v>0.0180831826401447</v>
      </c>
      <c r="C14" s="25" t="n">
        <f aca="false">IF(C8=0,0,C6/C8)</f>
        <v>0.0223964165733483</v>
      </c>
      <c r="D14" s="25" t="n">
        <f aca="false">IF(D8=0,0,D6/D8)</f>
        <v>0.0117129502337091</v>
      </c>
    </row>
    <row r="15" customFormat="false" ht="15" hidden="false" customHeight="false" outlineLevel="0" collapsed="false">
      <c r="A15" s="5" t="s">
        <v>111</v>
      </c>
      <c r="B15" s="25" t="n">
        <f aca="false">IF(B8=0,0,B7/B8)</f>
        <v>0</v>
      </c>
      <c r="C15" s="25" t="n">
        <f aca="false">IF(C8=0,0,C7/C8)</f>
        <v>0</v>
      </c>
      <c r="D15" s="25" t="n">
        <f aca="false">IF(D8=0,0,D7/D8)</f>
        <v>0.00478416277151498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2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7" t="s">
        <v>114</v>
      </c>
      <c r="B1" s="27"/>
      <c r="C1" s="27"/>
      <c r="D1" s="27"/>
    </row>
    <row r="2" customFormat="false" ht="15" hidden="false" customHeight="false" outlineLevel="0" collapsed="false">
      <c r="A2" s="2" t="s">
        <v>115</v>
      </c>
      <c r="B2" s="2" t="s">
        <v>116</v>
      </c>
      <c r="C2" s="2" t="s">
        <v>117</v>
      </c>
      <c r="D2" s="2" t="s">
        <v>5</v>
      </c>
    </row>
    <row r="3" customFormat="false" ht="15" hidden="false" customHeight="false" outlineLevel="0" collapsed="false">
      <c r="A3" s="3" t="s">
        <v>118</v>
      </c>
      <c r="B3" s="4"/>
      <c r="C3" s="4"/>
      <c r="D3" s="4"/>
    </row>
    <row r="4" customFormat="false" ht="15" hidden="false" customHeight="false" outlineLevel="0" collapsed="false">
      <c r="A4" s="5" t="s">
        <v>119</v>
      </c>
      <c r="B4" s="5" t="s">
        <v>120</v>
      </c>
      <c r="C4" s="5" t="s">
        <v>121</v>
      </c>
      <c r="D4" s="5" t="s">
        <v>122</v>
      </c>
    </row>
    <row r="5" customFormat="false" ht="15" hidden="false" customHeight="false" outlineLevel="0" collapsed="false">
      <c r="A5" s="5" t="s">
        <v>123</v>
      </c>
      <c r="B5" s="5" t="s">
        <v>124</v>
      </c>
      <c r="C5" s="5" t="s">
        <v>125</v>
      </c>
      <c r="D5" s="5" t="s">
        <v>126</v>
      </c>
    </row>
    <row r="6" customFormat="false" ht="15" hidden="false" customHeight="false" outlineLevel="0" collapsed="false">
      <c r="A6" s="5" t="s">
        <v>127</v>
      </c>
      <c r="B6" s="5" t="s">
        <v>128</v>
      </c>
      <c r="C6" s="5" t="s">
        <v>120</v>
      </c>
      <c r="D6" s="5" t="s">
        <v>129</v>
      </c>
    </row>
    <row r="7" customFormat="false" ht="15" hidden="false" customHeight="false" outlineLevel="0" collapsed="false">
      <c r="A7" s="5" t="s">
        <v>130</v>
      </c>
      <c r="B7" s="5" t="s">
        <v>131</v>
      </c>
      <c r="C7" s="5" t="s">
        <v>132</v>
      </c>
      <c r="D7" s="5" t="s">
        <v>133</v>
      </c>
    </row>
    <row r="8" customFormat="false" ht="15" hidden="false" customHeight="false" outlineLevel="0" collapsed="false">
      <c r="A8" s="5" t="s">
        <v>134</v>
      </c>
      <c r="B8" s="5" t="s">
        <v>135</v>
      </c>
      <c r="C8" s="5" t="s">
        <v>136</v>
      </c>
      <c r="D8" s="5" t="s">
        <v>137</v>
      </c>
    </row>
    <row r="9" customFormat="false" ht="15" hidden="false" customHeight="false" outlineLevel="0" collapsed="false">
      <c r="A9" s="5" t="s">
        <v>138</v>
      </c>
      <c r="B9" s="5" t="s">
        <v>139</v>
      </c>
      <c r="C9" s="5" t="s">
        <v>124</v>
      </c>
      <c r="D9" s="5" t="s">
        <v>140</v>
      </c>
    </row>
    <row r="10" customFormat="false" ht="15" hidden="false" customHeight="false" outlineLevel="0" collapsed="false">
      <c r="A10" s="5" t="s">
        <v>141</v>
      </c>
      <c r="B10" s="5" t="s">
        <v>142</v>
      </c>
      <c r="C10" s="5" t="s">
        <v>143</v>
      </c>
      <c r="D10" s="5" t="s">
        <v>144</v>
      </c>
    </row>
    <row r="11" customFormat="false" ht="15" hidden="false" customHeight="false" outlineLevel="0" collapsed="false">
      <c r="A11" s="5" t="s">
        <v>145</v>
      </c>
      <c r="B11" s="5" t="s">
        <v>131</v>
      </c>
      <c r="C11" s="5" t="s">
        <v>132</v>
      </c>
      <c r="D11" s="5" t="s">
        <v>146</v>
      </c>
    </row>
    <row r="13" customFormat="false" ht="15" hidden="false" customHeight="false" outlineLevel="0" collapsed="false">
      <c r="A13" s="3" t="s">
        <v>147</v>
      </c>
      <c r="B13" s="4"/>
      <c r="C13" s="4"/>
      <c r="D13" s="4"/>
    </row>
    <row r="14" customFormat="false" ht="15" hidden="false" customHeight="false" outlineLevel="0" collapsed="false">
      <c r="A14" s="5" t="s">
        <v>148</v>
      </c>
      <c r="B14" s="5" t="s">
        <v>149</v>
      </c>
      <c r="C14" s="5" t="s">
        <v>150</v>
      </c>
      <c r="D14" s="5" t="s">
        <v>151</v>
      </c>
    </row>
    <row r="15" customFormat="false" ht="15" hidden="false" customHeight="false" outlineLevel="0" collapsed="false">
      <c r="A15" s="5" t="s">
        <v>152</v>
      </c>
      <c r="B15" s="5" t="s">
        <v>153</v>
      </c>
      <c r="C15" s="5" t="s">
        <v>150</v>
      </c>
      <c r="D15" s="5" t="s">
        <v>154</v>
      </c>
    </row>
    <row r="16" customFormat="false" ht="15" hidden="false" customHeight="false" outlineLevel="0" collapsed="false">
      <c r="A16" s="5" t="s">
        <v>155</v>
      </c>
      <c r="B16" s="5" t="s">
        <v>156</v>
      </c>
      <c r="C16" s="5" t="s">
        <v>150</v>
      </c>
      <c r="D16" s="5" t="s">
        <v>157</v>
      </c>
    </row>
    <row r="18" customFormat="false" ht="15" hidden="false" customHeight="false" outlineLevel="0" collapsed="false">
      <c r="A18" s="3" t="s">
        <v>158</v>
      </c>
      <c r="B18" s="4"/>
      <c r="C18" s="4"/>
      <c r="D18" s="4"/>
    </row>
    <row r="19" customFormat="false" ht="15" hidden="false" customHeight="false" outlineLevel="0" collapsed="false">
      <c r="A19" s="5" t="s">
        <v>159</v>
      </c>
      <c r="B19" s="5" t="s">
        <v>160</v>
      </c>
      <c r="C19" s="5" t="s">
        <v>161</v>
      </c>
      <c r="D19" s="5" t="s">
        <v>162</v>
      </c>
    </row>
    <row r="20" customFormat="false" ht="15" hidden="false" customHeight="false" outlineLevel="0" collapsed="false">
      <c r="A20" s="5" t="s">
        <v>163</v>
      </c>
      <c r="B20" s="5" t="s">
        <v>164</v>
      </c>
      <c r="C20" s="5" t="s">
        <v>165</v>
      </c>
      <c r="D20" s="5" t="s">
        <v>166</v>
      </c>
    </row>
    <row r="21" customFormat="false" ht="15" hidden="false" customHeight="false" outlineLevel="0" collapsed="false">
      <c r="A21" s="5" t="s">
        <v>167</v>
      </c>
      <c r="B21" s="5" t="s">
        <v>168</v>
      </c>
      <c r="C21" s="5" t="s">
        <v>169</v>
      </c>
      <c r="D21" s="5" t="s">
        <v>170</v>
      </c>
    </row>
    <row r="22" customFormat="false" ht="15" hidden="false" customHeight="false" outlineLevel="0" collapsed="false">
      <c r="A22" s="5" t="s">
        <v>171</v>
      </c>
      <c r="B22" s="5" t="s">
        <v>172</v>
      </c>
      <c r="C22" s="5" t="s">
        <v>173</v>
      </c>
      <c r="D22" s="5" t="s">
        <v>174</v>
      </c>
    </row>
    <row r="23" customFormat="false" ht="15" hidden="false" customHeight="false" outlineLevel="0" collapsed="false">
      <c r="A23" s="5" t="s">
        <v>175</v>
      </c>
      <c r="B23" s="5" t="s">
        <v>176</v>
      </c>
      <c r="C23" s="5" t="s">
        <v>177</v>
      </c>
      <c r="D23" s="5" t="s">
        <v>178</v>
      </c>
    </row>
    <row r="25" customFormat="false" ht="15" hidden="false" customHeight="false" outlineLevel="0" collapsed="false">
      <c r="A25" s="3" t="s">
        <v>179</v>
      </c>
      <c r="B25" s="4"/>
      <c r="C25" s="4"/>
      <c r="D25" s="4"/>
    </row>
    <row r="26" customFormat="false" ht="15" hidden="false" customHeight="false" outlineLevel="0" collapsed="false">
      <c r="A26" s="5" t="s">
        <v>180</v>
      </c>
      <c r="B26" s="5" t="s">
        <v>88</v>
      </c>
      <c r="C26" s="5"/>
      <c r="D26" s="5" t="s">
        <v>181</v>
      </c>
    </row>
    <row r="27" customFormat="false" ht="15" hidden="false" customHeight="false" outlineLevel="0" collapsed="false">
      <c r="A27" s="5" t="s">
        <v>182</v>
      </c>
      <c r="B27" s="5" t="s">
        <v>183</v>
      </c>
      <c r="C27" s="5"/>
      <c r="D27" s="5" t="s">
        <v>184</v>
      </c>
    </row>
    <row r="28" customFormat="false" ht="15" hidden="false" customHeight="false" outlineLevel="0" collapsed="false">
      <c r="A28" s="5" t="s">
        <v>185</v>
      </c>
      <c r="B28" s="5" t="s">
        <v>88</v>
      </c>
      <c r="C28" s="5"/>
      <c r="D28" s="5" t="s">
        <v>186</v>
      </c>
    </row>
    <row r="30" customFormat="false" ht="15" hidden="false" customHeight="false" outlineLevel="0" collapsed="false">
      <c r="A30" s="3" t="s">
        <v>187</v>
      </c>
      <c r="B30" s="4"/>
      <c r="C30" s="4"/>
      <c r="D30" s="4"/>
    </row>
    <row r="31" customFormat="false" ht="15" hidden="false" customHeight="false" outlineLevel="0" collapsed="false">
      <c r="A31" s="5" t="s">
        <v>188</v>
      </c>
      <c r="B31" s="5" t="s">
        <v>88</v>
      </c>
      <c r="C31" s="5"/>
      <c r="D31" s="5" t="s">
        <v>189</v>
      </c>
    </row>
    <row r="32" customFormat="false" ht="15" hidden="false" customHeight="false" outlineLevel="0" collapsed="false">
      <c r="A32" s="5" t="s">
        <v>190</v>
      </c>
      <c r="B32" s="5" t="s">
        <v>191</v>
      </c>
      <c r="C32" s="5"/>
      <c r="D32" s="5" t="s">
        <v>192</v>
      </c>
    </row>
    <row r="33" customFormat="false" ht="15" hidden="false" customHeight="false" outlineLevel="0" collapsed="false">
      <c r="A33" s="5" t="s">
        <v>193</v>
      </c>
      <c r="B33" s="5" t="s">
        <v>194</v>
      </c>
      <c r="C33" s="5"/>
      <c r="D33" s="5" t="s">
        <v>195</v>
      </c>
    </row>
    <row r="34" customFormat="false" ht="15" hidden="false" customHeight="false" outlineLevel="0" collapsed="false">
      <c r="A34" s="5" t="s">
        <v>196</v>
      </c>
      <c r="B34" s="5" t="s">
        <v>88</v>
      </c>
      <c r="C34" s="5"/>
      <c r="D34" s="5" t="s">
        <v>197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55"/>
    <col collapsed="false" customWidth="true" hidden="false" outlineLevel="0" max="3" min="3" style="0" width="25"/>
  </cols>
  <sheetData>
    <row r="1" customFormat="false" ht="17.35" hidden="false" customHeight="false" outlineLevel="0" collapsed="false">
      <c r="A1" s="28" t="s">
        <v>198</v>
      </c>
      <c r="B1" s="28"/>
      <c r="C1" s="28"/>
    </row>
    <row r="2" customFormat="false" ht="15" hidden="false" customHeight="false" outlineLevel="0" collapsed="false">
      <c r="A2" s="2" t="s">
        <v>199</v>
      </c>
      <c r="B2" s="2" t="s">
        <v>200</v>
      </c>
      <c r="C2" s="2" t="s">
        <v>201</v>
      </c>
    </row>
    <row r="3" customFormat="false" ht="15" hidden="false" customHeight="false" outlineLevel="0" collapsed="false">
      <c r="A3" s="3" t="s">
        <v>202</v>
      </c>
      <c r="B3" s="4"/>
      <c r="C3" s="4"/>
    </row>
    <row r="4" customFormat="false" ht="15" hidden="false" customHeight="false" outlineLevel="0" collapsed="false">
      <c r="A4" s="5" t="s">
        <v>203</v>
      </c>
      <c r="B4" s="5" t="s">
        <v>204</v>
      </c>
      <c r="C4" s="29" t="s">
        <v>205</v>
      </c>
    </row>
    <row r="5" customFormat="false" ht="15" hidden="false" customHeight="false" outlineLevel="0" collapsed="false">
      <c r="A5" s="5" t="s">
        <v>206</v>
      </c>
      <c r="B5" s="5" t="s">
        <v>207</v>
      </c>
      <c r="C5" s="29" t="s">
        <v>208</v>
      </c>
    </row>
    <row r="6" customFormat="false" ht="15" hidden="false" customHeight="false" outlineLevel="0" collapsed="false">
      <c r="A6" s="5" t="s">
        <v>209</v>
      </c>
      <c r="B6" s="5" t="s">
        <v>210</v>
      </c>
      <c r="C6" s="29" t="s">
        <v>211</v>
      </c>
    </row>
    <row r="7" customFormat="false" ht="15" hidden="false" customHeight="false" outlineLevel="0" collapsed="false">
      <c r="A7" s="5" t="s">
        <v>212</v>
      </c>
      <c r="B7" s="5" t="s">
        <v>213</v>
      </c>
      <c r="C7" s="29" t="s">
        <v>214</v>
      </c>
    </row>
    <row r="8" customFormat="false" ht="15" hidden="false" customHeight="false" outlineLevel="0" collapsed="false">
      <c r="A8" s="5" t="s">
        <v>215</v>
      </c>
      <c r="B8" s="5" t="s">
        <v>216</v>
      </c>
      <c r="C8" s="29" t="s">
        <v>217</v>
      </c>
    </row>
    <row r="10" customFormat="false" ht="15" hidden="false" customHeight="false" outlineLevel="0" collapsed="false">
      <c r="A10" s="3" t="s">
        <v>218</v>
      </c>
      <c r="B10" s="4"/>
      <c r="C10" s="4"/>
    </row>
    <row r="11" customFormat="false" ht="15" hidden="false" customHeight="false" outlineLevel="0" collapsed="false">
      <c r="A11" s="5" t="s">
        <v>219</v>
      </c>
      <c r="B11" s="5" t="s">
        <v>220</v>
      </c>
      <c r="C11" s="29" t="s">
        <v>221</v>
      </c>
    </row>
    <row r="12" customFormat="false" ht="15" hidden="false" customHeight="false" outlineLevel="0" collapsed="false">
      <c r="A12" s="5" t="s">
        <v>222</v>
      </c>
      <c r="B12" s="5" t="s">
        <v>223</v>
      </c>
      <c r="C12" s="29" t="s">
        <v>224</v>
      </c>
    </row>
    <row r="13" customFormat="false" ht="15" hidden="false" customHeight="false" outlineLevel="0" collapsed="false">
      <c r="A13" s="5" t="s">
        <v>225</v>
      </c>
      <c r="B13" s="5" t="s">
        <v>226</v>
      </c>
      <c r="C13" s="29" t="s">
        <v>227</v>
      </c>
    </row>
    <row r="15" customFormat="false" ht="15" hidden="false" customHeight="false" outlineLevel="0" collapsed="false">
      <c r="A15" s="3" t="s">
        <v>228</v>
      </c>
      <c r="B15" s="4"/>
      <c r="C15" s="4"/>
    </row>
    <row r="16" customFormat="false" ht="15" hidden="false" customHeight="false" outlineLevel="0" collapsed="false">
      <c r="A16" s="5" t="s">
        <v>229</v>
      </c>
      <c r="B16" s="5" t="s">
        <v>230</v>
      </c>
      <c r="C16" s="29" t="s">
        <v>231</v>
      </c>
    </row>
    <row r="17" customFormat="false" ht="15" hidden="false" customHeight="false" outlineLevel="0" collapsed="false">
      <c r="A17" s="5" t="s">
        <v>232</v>
      </c>
      <c r="B17" s="5" t="s">
        <v>233</v>
      </c>
      <c r="C17" s="29" t="s">
        <v>234</v>
      </c>
    </row>
    <row r="18" customFormat="false" ht="15" hidden="false" customHeight="false" outlineLevel="0" collapsed="false">
      <c r="A18" s="5" t="s">
        <v>235</v>
      </c>
      <c r="B18" s="5" t="s">
        <v>236</v>
      </c>
      <c r="C18" s="29" t="s">
        <v>237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2026-02-10T21:33:11Z</dcterms:created>
  <dc:creator>openpyxl</dc:creator>
  <dc:description/>
  <dc:language>en-US</dc:language>
  <cp:lastModifiedBy/>
  <dcterms:modified xsi:type="dcterms:W3CDTF">2026-02-10T21:33:11Z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